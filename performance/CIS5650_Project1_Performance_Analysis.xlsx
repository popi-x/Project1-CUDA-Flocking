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. Boid Count" sheetId="2" state="visible" r:id="rId4"/>
    <sheet name="2. Block Size" sheetId="3" state="visible" r:id="rId5"/>
    <sheet name="3. Coherent vs Uniform Grid" sheetId="4" state="visible" r:id="rId6"/>
    <sheet name="4. Cell Width (8 vs 27)" sheetId="5" state="visible" r:id="rId7"/>
    <sheet name="5. Written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Benchmark row — this assignment's default configuration, pre-filled as a sample. Overwrite with your own measured value; keep it in this sorted position.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7" authorId="0">
      <text>
        <r>
          <rPr>
            <sz val="10"/>
            <rFont val="Arial"/>
            <family val="2"/>
          </rPr>
          <t xml:space="preserve">Benchmark row — this assignment's default configuration, pre-filled as a sample. Overwrite with your own measured value; keep it in this sorted position.</t>
        </r>
      </text>
    </comment>
  </commentList>
</comments>
</file>

<file path=xl/sharedStrings.xml><?xml version="1.0" encoding="utf-8"?>
<sst xmlns="http://schemas.openxmlformats.org/spreadsheetml/2006/main" count="74" uniqueCount="61">
  <si>
    <t xml:space="preserve">CIS 5650 — Project 1: CUDA Flocking</t>
  </si>
  <si>
    <t xml:space="preserve">Part 3 Performance Analysis — Data Collection Workbook</t>
  </si>
  <si>
    <t xml:space="preserve">How to use this file</t>
  </si>
  <si>
    <t xml:space="preserve">1. Run your program</t>
  </si>
  <si>
    <t xml:space="preserve">Build in Release mode, disable V-Sync (NVIDIA Control Panel), and read the FPS from the window title bar (updates ~ every 0.5s once it stabilizes).</t>
  </si>
  <si>
    <t xml:space="preserve">2. Fill in yellow cells only</t>
  </si>
  <si>
    <t xml:space="preserve">Every yellow cell is a place to type YOUR measured FPS or parameter value. Do not edit any other cell — the rest are labels or formulas that update automatically.</t>
  </si>
  <si>
    <t xml:space="preserve">3. Benchmark row</t>
  </si>
  <si>
    <t xml:space="preserve">Each table has exactly one pre-filled 'benchmark' row (light blue, italic) — this project's own coded defaults (N = 5000 boids, block size = 128) — shown once, sorted into its correct place in the list (not forced to the top). Overwrite it once you've actually measured that exact configuration yourself.</t>
  </si>
  <si>
    <t xml:space="preserve">4. Charts</t>
  </si>
  <si>
    <t xml:space="preserve">Each sheet has a chart wired to that table's ranges. It updates automatically as you fill in rows — just keep your data inside the existing table rows (insert rows in the middle, not below the table, if you need more).</t>
  </si>
  <si>
    <t xml:space="preserve">5. Computed columns</t>
  </si>
  <si>
    <t xml:space="preserve">Columns like 'Speedup', 'Difference (%)', or 'Average' are formulas (e.g. =C5/B5). Don't type numbers into them.</t>
  </si>
  <si>
    <t xml:space="preserve">Color legend</t>
  </si>
  <si>
    <t xml:space="preserve">Yellow fill</t>
  </si>
  <si>
    <t xml:space="preserve">Cell you should fill in with measured data or a parameter value.</t>
  </si>
  <si>
    <t xml:space="preserve">Light blue / italic</t>
  </si>
  <si>
    <t xml:space="preserve">The benchmark row — sample data at this project's default settings, not your real results.</t>
  </si>
  <si>
    <t xml:space="preserve">White, plain font</t>
  </si>
  <si>
    <t xml:space="preserve">Label or formula — leave as-is.</t>
  </si>
  <si>
    <t xml:space="preserve">Sheets in this workbook</t>
  </si>
  <si>
    <t xml:space="preserve">1. Boid Count</t>
  </si>
  <si>
    <t xml:space="preserve">Table A: FPS vs. boid count with visualization ON, for Naive / Uniform Grid / Coherent Grid. Table B: same, with visualization OFF.</t>
  </si>
  <si>
    <t xml:space="preserve">2. Block Size</t>
  </si>
  <si>
    <t xml:space="preserve">FPS vs. CUDA block size (threads per block), at a fixed boid count, for Naive / Uniform Grid / Coherent Grid.</t>
  </si>
  <si>
    <t xml:space="preserve">3. Coherent vs Uniform Grid</t>
  </si>
  <si>
    <t xml:space="preserve">Direct FPS comparison between the uniform grid and the coherent uniform grid at several boid counts.</t>
  </si>
  <si>
    <t xml:space="preserve">4. Cell Width (8 vs 27)</t>
  </si>
  <si>
    <t xml:space="preserve">FPS comparison between checking 27 neighbor cells (cell width = 1x max search radius) vs. 8 neighbor cells (cell width = 2x max search radius).</t>
  </si>
  <si>
    <t xml:space="preserve">5. Written Analysis</t>
  </si>
  <si>
    <t xml:space="preserve">The written-answer questions INSTRUCTION.md asks for in the README (Part 4) — answer in the blank cells once your charts are done.</t>
  </si>
  <si>
    <t xml:space="preserve">FPS vs. Number of Boids</t>
  </si>
  <si>
    <t xml:space="preserve">Fixed: Block size = (your default, e.g. 128).  Vary boid count; record steady-state FPS from the window title.</t>
  </si>
  <si>
    <t xml:space="preserve">Table A — Visualization ON</t>
  </si>
  <si>
    <t xml:space="preserve">Boid Count</t>
  </si>
  <si>
    <t xml:space="preserve">Naive FPS</t>
  </si>
  <si>
    <t xml:space="preserve">Uniform Grid FPS</t>
  </si>
  <si>
    <t xml:space="preserve">Coherent Grid FPS</t>
  </si>
  <si>
    <t xml:space="preserve">Average</t>
  </si>
  <si>
    <t xml:space="preserve">Table B — Visualization OFF</t>
  </si>
  <si>
    <t xml:space="preserve">FPS vs. CUDA Block Size</t>
  </si>
  <si>
    <t xml:space="preserve">Fixed boid count (fill in below). Vary blockSize in kernel.cu and record FPS for each grid method.</t>
  </si>
  <si>
    <t xml:space="preserve">Test boid count used for this table:</t>
  </si>
  <si>
    <t xml:space="preserve">Block Size Sweep</t>
  </si>
  <si>
    <t xml:space="preserve">Block Size</t>
  </si>
  <si>
    <t xml:space="preserve">Coherent Grid vs. Uniform Grid</t>
  </si>
  <si>
    <t xml:space="preserve">Same boid counts and block size as Table B on Sheet 1 — isolates the effect of the memory-coherence optimization.</t>
  </si>
  <si>
    <t xml:space="preserve">Comparison</t>
  </si>
  <si>
    <t xml:space="preserve">Speedup (Coherent / Uniform)</t>
  </si>
  <si>
    <t xml:space="preserve">Neighbor Cell Search: 8 Cells (2x width) vs. 27 Cells (1x width) in coherent uniform grid</t>
  </si>
  <si>
    <t xml:space="preserve">8-cell search uses cellWidth = 2 * maxSearchRadius; 27-cell search uses cellWidth = 1 * maxSearchRadius. Use the coherent grid for both.</t>
  </si>
  <si>
    <t xml:space="preserve">8-Cell FPS (2x width)</t>
  </si>
  <si>
    <t xml:space="preserve">27-Cell FPS (1x width)</t>
  </si>
  <si>
    <t xml:space="preserve">Difference (%)</t>
  </si>
  <si>
    <t xml:space="preserve">Written Analysis (for README Part 4)</t>
  </si>
  <si>
    <t xml:space="preserve">Question</t>
  </si>
  <si>
    <t xml:space="preserve">Your Answer</t>
  </si>
  <si>
    <t xml:space="preserve">For each implementation, how does changing the number of boids affect performance? Why do you think this is?</t>
  </si>
  <si>
    <t xml:space="preserve">For each implementation, how does changing the block count/block size affect performance? Why do you think this is?</t>
  </si>
  <si>
    <t xml:space="preserve">For the coherent uniform grid, did you experience any performance improvements over the uniform grid? Was this the outcome you expected? Why or why not?</t>
  </si>
  <si>
    <t xml:space="preserve">Did changing cell width and checking 27 vs 8 neighboring cells affect performance? Why or why not? (Be careful: cell width and cell count are not the same thing.)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</si>
</sst>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x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D3E3B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D4A5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C8F8E"/>
      <rgbColor rgb="FF003366"/>
      <rgbColor rgb="FF339966"/>
      <rgbColor rgb="FF003300"/>
      <rgbColor rgb="FF333300"/>
      <rgbColor rgb="FFBE4B48"/>
      <rgbColor rgb="FFAA433F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FPS vs Boid Count (Visualization 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Boid Count'!B5</c:f>
              <c:strCache>
                <c:ptCount val="1"/>
                <c:pt idx="0">
                  <c:v>Naive FPS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Count'!$B$6:$B$13</c:f>
              <c:numCache>
                <c:formatCode>General</c:formatCode>
                <c:ptCount val="8"/>
                <c:pt idx="1">
                  <c:v>850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'1. Boid Count'!C5</c:f>
              <c:strCache>
                <c:ptCount val="1"/>
                <c:pt idx="0">
                  <c:v>Uniform Grid FPS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Count'!$C$6:$C$13</c:f>
              <c:numCache>
                <c:formatCode>General</c:formatCode>
                <c:ptCount val="8"/>
                <c:pt idx="1">
                  <c:v>1450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'1. Boid Count'!D5</c:f>
              <c:strCache>
                <c:ptCount val="1"/>
                <c:pt idx="0">
                  <c:v>Coherent Grid FPS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Count'!$D$6:$D$13</c:f>
              <c:numCache>
                <c:formatCode>General</c:formatCode>
                <c:ptCount val="8"/>
                <c:pt idx="1">
                  <c:v>1600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320392"/>
        <c:axId val="2832805"/>
      </c:lineChart>
      <c:catAx>
        <c:axId val="713203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Boid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32805"/>
        <c:crosses val="autoZero"/>
        <c:auto val="1"/>
        <c:lblAlgn val="ctr"/>
        <c:lblOffset val="100"/>
        <c:noMultiLvlLbl val="0"/>
      </c:catAx>
      <c:valAx>
        <c:axId val="2832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320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FPS vs Boid Count (Visualization OFF)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'1. Boid Count'!B18</c:f>
              <c:strCache>
                <c:ptCount val="1"/>
                <c:pt idx="0">
                  <c:v>Naive FPS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Count'!$A$19:$A$26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Count'!$B$19:$B$26</c:f>
              <c:numCache>
                <c:formatCode>General</c:formatCode>
                <c:ptCount val="8"/>
                <c:pt idx="0">
                  <c:v>1600</c:v>
                </c:pt>
                <c:pt idx="1">
                  <c:v>550</c:v>
                </c:pt>
                <c:pt idx="2">
                  <c:v>240</c:v>
                </c:pt>
                <c:pt idx="3">
                  <c:v>72</c:v>
                </c:pt>
                <c:pt idx="4">
                  <c:v>22</c:v>
                </c:pt>
                <c:pt idx="5">
                  <c:v>6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'1. Boid Count'!C18</c:f>
              <c:strCache>
                <c:ptCount val="1"/>
                <c:pt idx="0">
                  <c:v>Uniform Grid FPS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Count'!$A$19:$A$26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Count'!$C$19:$C$26</c:f>
              <c:numCache>
                <c:formatCode>General</c:formatCode>
                <c:ptCount val="8"/>
                <c:pt idx="0">
                  <c:v>1890</c:v>
                </c:pt>
                <c:pt idx="1">
                  <c:v>1750</c:v>
                </c:pt>
                <c:pt idx="2">
                  <c:v>1640</c:v>
                </c:pt>
                <c:pt idx="3">
                  <c:v>1500</c:v>
                </c:pt>
                <c:pt idx="4">
                  <c:v>780</c:v>
                </c:pt>
                <c:pt idx="5">
                  <c:v>460</c:v>
                </c:pt>
                <c:pt idx="6">
                  <c:v>170</c:v>
                </c:pt>
                <c:pt idx="7">
                  <c:v>47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'1. Boid Count'!D18</c:f>
              <c:strCache>
                <c:ptCount val="1"/>
                <c:pt idx="0">
                  <c:v>Coherent Grid FPS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'1. Boid Count'!$A$19:$A$26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'1. Boid Count'!$D$19:$D$26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1750</c:v>
                </c:pt>
                <c:pt idx="3">
                  <c:v>1800</c:v>
                </c:pt>
                <c:pt idx="4">
                  <c:v>1600</c:v>
                </c:pt>
                <c:pt idx="5">
                  <c:v>1340</c:v>
                </c:pt>
                <c:pt idx="6">
                  <c:v>700</c:v>
                </c:pt>
                <c:pt idx="7">
                  <c:v>307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3029506"/>
        <c:axId val="44096028"/>
      </c:lineChart>
      <c:catAx>
        <c:axId val="8302950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Boid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096028"/>
        <c:crosses val="autoZero"/>
        <c:auto val="1"/>
        <c:lblAlgn val="ctr"/>
        <c:lblOffset val="100"/>
        <c:noMultiLvlLbl val="0"/>
      </c:catAx>
      <c:valAx>
        <c:axId val="440960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295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FPS vs Block Size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'2. Block Size'!B6</c:f>
              <c:strCache>
                <c:ptCount val="1"/>
                <c:pt idx="0">
                  <c:v>Naive FPS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Block Size'!$A$7:$A$12</c:f>
              <c:strCach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strCache>
            </c:strRef>
          </c:cat>
          <c:val>
            <c:numRef>
              <c:f>'2. Block Size'!$B$7:$B$12</c:f>
              <c:numCache>
                <c:formatCode>General</c:formatCode>
                <c:ptCount val="6"/>
                <c:pt idx="1">
                  <c:v>550</c:v>
                </c:pt>
                <c:pt idx="2">
                  <c:v>550</c:v>
                </c:pt>
                <c:pt idx="3">
                  <c:v>565</c:v>
                </c:pt>
                <c:pt idx="4">
                  <c:v>540</c:v>
                </c:pt>
                <c:pt idx="5">
                  <c:v>370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'2. Block Size'!C6</c:f>
              <c:strCache>
                <c:ptCount val="1"/>
                <c:pt idx="0">
                  <c:v>Uniform Grid FPS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Block Size'!$A$7:$A$12</c:f>
              <c:strCach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strCache>
            </c:strRef>
          </c:cat>
          <c:val>
            <c:numRef>
              <c:f>'2. Block Size'!$C$7:$C$12</c:f>
              <c:numCache>
                <c:formatCode>General</c:formatCode>
                <c:ptCount val="6"/>
                <c:pt idx="1">
                  <c:v>1770</c:v>
                </c:pt>
                <c:pt idx="2">
                  <c:v>1750</c:v>
                </c:pt>
                <c:pt idx="3">
                  <c:v>1800</c:v>
                </c:pt>
                <c:pt idx="4">
                  <c:v>1820</c:v>
                </c:pt>
                <c:pt idx="5">
                  <c:v>1800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'2. Block Size'!D6</c:f>
              <c:strCache>
                <c:ptCount val="1"/>
                <c:pt idx="0">
                  <c:v>Coherent Grid FPS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'2. Block Size'!$A$7:$A$12</c:f>
              <c:strCache>
                <c:ptCount val="6"/>
                <c:pt idx="0">
                  <c:v>32</c:v>
                </c:pt>
                <c:pt idx="1">
                  <c:v>64</c:v>
                </c:pt>
                <c:pt idx="2">
                  <c:v>128</c:v>
                </c:pt>
                <c:pt idx="3">
                  <c:v>256</c:v>
                </c:pt>
                <c:pt idx="4">
                  <c:v>512</c:v>
                </c:pt>
                <c:pt idx="5">
                  <c:v>1024</c:v>
                </c:pt>
              </c:strCache>
            </c:strRef>
          </c:cat>
          <c:val>
            <c:numRef>
              <c:f>'2. Block Size'!$D$7:$D$12</c:f>
              <c:numCache>
                <c:formatCode>General</c:formatCode>
                <c:ptCount val="6"/>
                <c:pt idx="1">
                  <c:v>1860</c:v>
                </c:pt>
                <c:pt idx="2">
                  <c:v>1850</c:v>
                </c:pt>
                <c:pt idx="3">
                  <c:v>1880</c:v>
                </c:pt>
                <c:pt idx="4">
                  <c:v>1900</c:v>
                </c:pt>
                <c:pt idx="5">
                  <c:v>1740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881418"/>
        <c:axId val="75693489"/>
      </c:lineChart>
      <c:catAx>
        <c:axId val="438814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Block Size (threads/block)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93489"/>
        <c:crosses val="autoZero"/>
        <c:auto val="1"/>
        <c:lblAlgn val="ctr"/>
        <c:lblOffset val="100"/>
        <c:noMultiLvlLbl val="0"/>
      </c:catAx>
      <c:valAx>
        <c:axId val="756934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81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Coherent vs Uniform Grid FPS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'3. Coherent vs Uniform Grid'!B5</c:f>
              <c:strCache>
                <c:ptCount val="1"/>
                <c:pt idx="0">
                  <c:v>Uniform Grid FPS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Coherent vs Uniform Grid'!$A$6:$A$13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'3. Coherent vs Uniform Grid'!$B$6:$B$13</c:f>
              <c:numCache>
                <c:formatCode>General</c:formatCode>
                <c:ptCount val="8"/>
                <c:pt idx="1">
                  <c:v>2200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'3. Coherent vs Uniform Grid'!C5</c:f>
              <c:strCache>
                <c:ptCount val="1"/>
                <c:pt idx="0">
                  <c:v>Coherent Grid FPS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 Coherent vs Uniform Grid'!$A$6:$A$13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'3. Coherent vs Uniform Grid'!$C$6:$C$13</c:f>
              <c:numCache>
                <c:formatCode>General</c:formatCode>
                <c:ptCount val="8"/>
                <c:pt idx="1">
                  <c:v>2500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312334"/>
        <c:axId val="85047852"/>
      </c:lineChart>
      <c:catAx>
        <c:axId val="623123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Boid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047852"/>
        <c:crosses val="autoZero"/>
        <c:auto val="1"/>
        <c:lblAlgn val="ctr"/>
        <c:lblOffset val="100"/>
        <c:noMultiLvlLbl val="0"/>
      </c:catAx>
      <c:valAx>
        <c:axId val="850478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3123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8-Cell vs 27-Cell Search FPS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'4. Cell Width (8 vs 27)'!B5</c:f>
              <c:strCache>
                <c:ptCount val="1"/>
                <c:pt idx="0">
                  <c:v>8-Cell FPS (2x width)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Cell Width (8 vs 27)'!$A$6:$A$13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'4. Cell Width (8 vs 27)'!$B$6:$B$13</c:f>
              <c:numCache>
                <c:formatCode>General</c:formatCode>
                <c:ptCount val="8"/>
                <c:pt idx="0">
                  <c:v>1800</c:v>
                </c:pt>
                <c:pt idx="1">
                  <c:v>1850</c:v>
                </c:pt>
                <c:pt idx="2">
                  <c:v>1750</c:v>
                </c:pt>
                <c:pt idx="3">
                  <c:v>1800</c:v>
                </c:pt>
                <c:pt idx="4">
                  <c:v>1600</c:v>
                </c:pt>
                <c:pt idx="5">
                  <c:v>1340</c:v>
                </c:pt>
                <c:pt idx="6">
                  <c:v>700</c:v>
                </c:pt>
                <c:pt idx="7">
                  <c:v>307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'4. Cell Width (8 vs 27)'!C5</c:f>
              <c:strCache>
                <c:ptCount val="1"/>
                <c:pt idx="0">
                  <c:v>27-Cell FPS (1x width)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'4. Cell Width (8 vs 27)'!$A$6:$A$13</c:f>
              <c:strCache>
                <c:ptCount val="8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25000</c:v>
                </c:pt>
                <c:pt idx="4">
                  <c:v>50000</c:v>
                </c:pt>
                <c:pt idx="5">
                  <c:v>100000</c:v>
                </c:pt>
                <c:pt idx="6">
                  <c:v>250000</c:v>
                </c:pt>
                <c:pt idx="7">
                  <c:v>500000</c:v>
                </c:pt>
              </c:strCache>
            </c:strRef>
          </c:cat>
          <c:val>
            <c:numRef>
              <c:f>'4. Cell Width (8 vs 27)'!$C$6:$C$13</c:f>
              <c:numCache>
                <c:formatCode>General</c:formatCode>
                <c:ptCount val="8"/>
                <c:pt idx="0">
                  <c:v>1860</c:v>
                </c:pt>
                <c:pt idx="1">
                  <c:v>1770</c:v>
                </c:pt>
                <c:pt idx="2">
                  <c:v>1770</c:v>
                </c:pt>
                <c:pt idx="3">
                  <c:v>1870</c:v>
                </c:pt>
                <c:pt idx="4">
                  <c:v>1050</c:v>
                </c:pt>
                <c:pt idx="5">
                  <c:v>1500</c:v>
                </c:pt>
                <c:pt idx="6">
                  <c:v>900</c:v>
                </c:pt>
                <c:pt idx="7">
                  <c:v>520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2462878"/>
        <c:axId val="43004645"/>
      </c:lineChart>
      <c:catAx>
        <c:axId val="724628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Boid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04645"/>
        <c:crosses val="autoZero"/>
        <c:auto val="1"/>
        <c:lblAlgn val="ctr"/>
        <c:lblOffset val="100"/>
        <c:noMultiLvlLbl val="0"/>
      </c:catAx>
      <c:valAx>
        <c:axId val="43004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4628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16</xdr:row>
      <xdr:rowOff>182880</xdr:rowOff>
    </xdr:to>
    <xdr:graphicFrame>
      <xdr:nvGraphicFramePr>
        <xdr:cNvPr id="0" name="Chart 1"/>
        <xdr:cNvGraphicFramePr/>
      </xdr:nvGraphicFramePr>
      <xdr:xfrm>
        <a:off x="526356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15</xdr:row>
      <xdr:rowOff>160560</xdr:rowOff>
    </xdr:from>
    <xdr:to>
      <xdr:col>14</xdr:col>
      <xdr:colOff>255960</xdr:colOff>
      <xdr:row>29</xdr:row>
      <xdr:rowOff>182880</xdr:rowOff>
    </xdr:to>
    <xdr:graphicFrame>
      <xdr:nvGraphicFramePr>
        <xdr:cNvPr id="1" name="Chart 2"/>
        <xdr:cNvGraphicFramePr/>
      </xdr:nvGraphicFramePr>
      <xdr:xfrm>
        <a:off x="526356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160920</xdr:rowOff>
    </xdr:from>
    <xdr:to>
      <xdr:col>14</xdr:col>
      <xdr:colOff>255960</xdr:colOff>
      <xdr:row>17</xdr:row>
      <xdr:rowOff>182880</xdr:rowOff>
    </xdr:to>
    <xdr:graphicFrame>
      <xdr:nvGraphicFramePr>
        <xdr:cNvPr id="2" name="Chart 1"/>
        <xdr:cNvGraphicFramePr/>
      </xdr:nvGraphicFramePr>
      <xdr:xfrm>
        <a:off x="5122440" y="762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256320</xdr:colOff>
      <xdr:row>16</xdr:row>
      <xdr:rowOff>182880</xdr:rowOff>
    </xdr:to>
    <xdr:graphicFrame>
      <xdr:nvGraphicFramePr>
        <xdr:cNvPr id="3" name="Chart 1"/>
        <xdr:cNvGraphicFramePr/>
      </xdr:nvGraphicFramePr>
      <xdr:xfrm>
        <a:off x="639144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160920</xdr:rowOff>
    </xdr:from>
    <xdr:to>
      <xdr:col>14</xdr:col>
      <xdr:colOff>255960</xdr:colOff>
      <xdr:row>16</xdr:row>
      <xdr:rowOff>182880</xdr:rowOff>
    </xdr:to>
    <xdr:graphicFrame>
      <xdr:nvGraphicFramePr>
        <xdr:cNvPr id="4" name="Chart 1"/>
        <xdr:cNvGraphicFramePr/>
      </xdr:nvGraphicFramePr>
      <xdr:xfrm>
        <a:off x="610920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</row>
    <row r="5" customFormat="false" ht="26.85" hidden="false" customHeight="false" outlineLevel="0" collapsed="false">
      <c r="A5" s="4" t="s">
        <v>3</v>
      </c>
      <c r="B5" s="5" t="s">
        <v>4</v>
      </c>
    </row>
    <row r="6" customFormat="false" ht="26.85" hidden="false" customHeight="false" outlineLevel="0" collapsed="false">
      <c r="A6" s="4" t="s">
        <v>5</v>
      </c>
      <c r="B6" s="5" t="s">
        <v>6</v>
      </c>
    </row>
    <row r="7" customFormat="false" ht="52.2" hidden="false" customHeight="false" outlineLevel="0" collapsed="false">
      <c r="A7" s="4" t="s">
        <v>7</v>
      </c>
      <c r="B7" s="5" t="s">
        <v>8</v>
      </c>
    </row>
    <row r="8" customFormat="false" ht="39.55" hidden="false" customHeight="false" outlineLevel="0" collapsed="false">
      <c r="A8" s="4" t="s">
        <v>9</v>
      </c>
      <c r="B8" s="5" t="s">
        <v>10</v>
      </c>
    </row>
    <row r="9" customFormat="false" ht="26.8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6"/>
      <c r="B10" s="5"/>
    </row>
    <row r="11" customFormat="false" ht="15" hidden="false" customHeight="false" outlineLevel="0" collapsed="false">
      <c r="A11" s="7" t="s">
        <v>13</v>
      </c>
    </row>
    <row r="12" customFormat="false" ht="15" hidden="false" customHeight="false" outlineLevel="0" collapsed="false">
      <c r="A12" s="4" t="s">
        <v>14</v>
      </c>
      <c r="B12" s="5" t="s">
        <v>15</v>
      </c>
    </row>
    <row r="13" customFormat="false" ht="15" hidden="false" customHeight="false" outlineLevel="0" collapsed="false">
      <c r="A13" s="4" t="s">
        <v>16</v>
      </c>
      <c r="B13" s="5" t="s">
        <v>17</v>
      </c>
    </row>
    <row r="14" customFormat="false" ht="15" hidden="false" customHeight="false" outlineLevel="0" collapsed="false">
      <c r="A14" s="4" t="s">
        <v>18</v>
      </c>
      <c r="B14" s="5" t="s">
        <v>19</v>
      </c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3" t="s">
        <v>20</v>
      </c>
    </row>
    <row r="17" customFormat="false" ht="26.85" hidden="false" customHeight="false" outlineLevel="0" collapsed="false">
      <c r="A17" s="4" t="s">
        <v>21</v>
      </c>
      <c r="B17" s="5" t="s">
        <v>22</v>
      </c>
    </row>
    <row r="18" customFormat="false" ht="26.85" hidden="false" customHeight="false" outlineLevel="0" collapsed="false">
      <c r="A18" s="4" t="s">
        <v>23</v>
      </c>
      <c r="B18" s="5" t="s">
        <v>24</v>
      </c>
    </row>
    <row r="19" customFormat="false" ht="26.85" hidden="false" customHeight="false" outlineLevel="0" collapsed="false">
      <c r="A19" s="4" t="s">
        <v>25</v>
      </c>
      <c r="B19" s="5" t="s">
        <v>26</v>
      </c>
    </row>
    <row r="20" customFormat="false" ht="26.85" hidden="false" customHeight="false" outlineLevel="0" collapsed="false">
      <c r="A20" s="4" t="s">
        <v>27</v>
      </c>
      <c r="B20" s="5" t="s">
        <v>28</v>
      </c>
    </row>
    <row r="21" customFormat="false" ht="26.85" hidden="false" customHeight="false" outlineLevel="0" collapsed="false">
      <c r="A21" s="4" t="s">
        <v>29</v>
      </c>
      <c r="B21" s="5" t="s">
        <v>30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31</v>
      </c>
      <c r="B1" s="1"/>
      <c r="C1" s="1"/>
      <c r="D1" s="1"/>
    </row>
    <row r="2" customFormat="false" ht="15" hidden="false" customHeight="false" outlineLevel="0" collapsed="false">
      <c r="A2" s="8" t="s">
        <v>32</v>
      </c>
      <c r="B2" s="8"/>
      <c r="C2" s="8"/>
      <c r="D2" s="8"/>
    </row>
    <row r="4" customFormat="false" ht="15" hidden="false" customHeight="false" outlineLevel="0" collapsed="false">
      <c r="A4" s="2" t="s">
        <v>33</v>
      </c>
      <c r="B4" s="2"/>
      <c r="C4" s="2"/>
      <c r="D4" s="2"/>
    </row>
    <row r="5" customFormat="false" ht="30" hidden="false" customHeight="true" outlineLevel="0" collapsed="false">
      <c r="A5" s="9" t="s">
        <v>34</v>
      </c>
      <c r="B5" s="9" t="s">
        <v>35</v>
      </c>
      <c r="C5" s="9" t="s">
        <v>36</v>
      </c>
      <c r="D5" s="9" t="s">
        <v>37</v>
      </c>
    </row>
    <row r="6" customFormat="false" ht="15" hidden="false" customHeight="false" outlineLevel="0" collapsed="false">
      <c r="A6" s="10" t="n">
        <v>1000</v>
      </c>
      <c r="B6" s="11"/>
      <c r="C6" s="11"/>
      <c r="D6" s="11"/>
    </row>
    <row r="7" customFormat="false" ht="15" hidden="false" customHeight="false" outlineLevel="0" collapsed="false">
      <c r="A7" s="12" t="n">
        <v>5000</v>
      </c>
      <c r="B7" s="12" t="n">
        <v>850</v>
      </c>
      <c r="C7" s="12" t="n">
        <v>1450</v>
      </c>
      <c r="D7" s="12" t="n">
        <v>1600</v>
      </c>
    </row>
    <row r="8" customFormat="false" ht="15" hidden="false" customHeight="false" outlineLevel="0" collapsed="false">
      <c r="A8" s="10" t="n">
        <v>10000</v>
      </c>
      <c r="B8" s="11"/>
      <c r="C8" s="11"/>
      <c r="D8" s="11"/>
    </row>
    <row r="9" customFormat="false" ht="15" hidden="false" customHeight="false" outlineLevel="0" collapsed="false">
      <c r="A9" s="10" t="n">
        <v>25000</v>
      </c>
      <c r="B9" s="11"/>
      <c r="C9" s="11"/>
      <c r="D9" s="11"/>
    </row>
    <row r="10" customFormat="false" ht="15" hidden="false" customHeight="false" outlineLevel="0" collapsed="false">
      <c r="A10" s="10" t="n">
        <v>50000</v>
      </c>
      <c r="B10" s="11"/>
      <c r="C10" s="11"/>
      <c r="D10" s="11"/>
    </row>
    <row r="11" customFormat="false" ht="15" hidden="false" customHeight="false" outlineLevel="0" collapsed="false">
      <c r="A11" s="10" t="n">
        <v>100000</v>
      </c>
      <c r="B11" s="11"/>
      <c r="C11" s="11"/>
      <c r="D11" s="11"/>
    </row>
    <row r="12" customFormat="false" ht="15" hidden="false" customHeight="false" outlineLevel="0" collapsed="false">
      <c r="A12" s="10" t="n">
        <v>250000</v>
      </c>
      <c r="B12" s="11"/>
      <c r="C12" s="11"/>
      <c r="D12" s="11"/>
    </row>
    <row r="13" customFormat="false" ht="15" hidden="false" customHeight="false" outlineLevel="0" collapsed="false">
      <c r="A13" s="10" t="n">
        <v>500000</v>
      </c>
      <c r="B13" s="11"/>
      <c r="C13" s="11"/>
      <c r="D13" s="11"/>
    </row>
    <row r="14" customFormat="false" ht="15" hidden="false" customHeight="false" outlineLevel="0" collapsed="false">
      <c r="A14" s="13" t="s">
        <v>38</v>
      </c>
      <c r="B14" s="13" t="n">
        <f aca="false">IFERROR(AVERAGE(B6:B13),"")</f>
        <v>850</v>
      </c>
      <c r="C14" s="13" t="n">
        <f aca="false">IFERROR(AVERAGE(C6:C13),"")</f>
        <v>1450</v>
      </c>
      <c r="D14" s="13" t="n">
        <f aca="false">IFERROR(AVERAGE(D6:D13),"")</f>
        <v>1600</v>
      </c>
    </row>
    <row r="17" customFormat="false" ht="15" hidden="false" customHeight="false" outlineLevel="0" collapsed="false">
      <c r="A17" s="2" t="s">
        <v>39</v>
      </c>
      <c r="B17" s="2"/>
      <c r="C17" s="2"/>
      <c r="D17" s="2"/>
    </row>
    <row r="18" customFormat="false" ht="30" hidden="false" customHeight="true" outlineLevel="0" collapsed="false">
      <c r="A18" s="9" t="s">
        <v>34</v>
      </c>
      <c r="B18" s="9" t="s">
        <v>35</v>
      </c>
      <c r="C18" s="9" t="s">
        <v>36</v>
      </c>
      <c r="D18" s="9" t="s">
        <v>37</v>
      </c>
    </row>
    <row r="19" customFormat="false" ht="15" hidden="false" customHeight="false" outlineLevel="0" collapsed="false">
      <c r="A19" s="10" t="n">
        <v>1000</v>
      </c>
      <c r="B19" s="11" t="n">
        <v>1600</v>
      </c>
      <c r="C19" s="11" t="n">
        <v>1890</v>
      </c>
      <c r="D19" s="11" t="n">
        <v>1800</v>
      </c>
    </row>
    <row r="20" customFormat="false" ht="15" hidden="false" customHeight="false" outlineLevel="0" collapsed="false">
      <c r="A20" s="10" t="n">
        <v>5000</v>
      </c>
      <c r="B20" s="11" t="n">
        <v>550</v>
      </c>
      <c r="C20" s="11" t="n">
        <v>1750</v>
      </c>
      <c r="D20" s="11" t="n">
        <v>1850</v>
      </c>
    </row>
    <row r="21" customFormat="false" ht="15" hidden="false" customHeight="false" outlineLevel="0" collapsed="false">
      <c r="A21" s="10" t="n">
        <v>10000</v>
      </c>
      <c r="B21" s="11" t="n">
        <v>240</v>
      </c>
      <c r="C21" s="11" t="n">
        <v>1640</v>
      </c>
      <c r="D21" s="11" t="n">
        <v>1750</v>
      </c>
    </row>
    <row r="22" customFormat="false" ht="15" hidden="false" customHeight="false" outlineLevel="0" collapsed="false">
      <c r="A22" s="10" t="n">
        <v>25000</v>
      </c>
      <c r="B22" s="11" t="n">
        <v>72</v>
      </c>
      <c r="C22" s="11" t="n">
        <v>1500</v>
      </c>
      <c r="D22" s="11" t="n">
        <v>1800</v>
      </c>
    </row>
    <row r="23" customFormat="false" ht="15" hidden="false" customHeight="false" outlineLevel="0" collapsed="false">
      <c r="A23" s="10" t="n">
        <v>50000</v>
      </c>
      <c r="B23" s="11" t="n">
        <v>22</v>
      </c>
      <c r="C23" s="11" t="n">
        <v>780</v>
      </c>
      <c r="D23" s="11" t="n">
        <v>1600</v>
      </c>
    </row>
    <row r="24" customFormat="false" ht="15" hidden="false" customHeight="false" outlineLevel="0" collapsed="false">
      <c r="A24" s="10" t="n">
        <v>100000</v>
      </c>
      <c r="B24" s="11" t="n">
        <v>6</v>
      </c>
      <c r="C24" s="11" t="n">
        <v>460</v>
      </c>
      <c r="D24" s="11" t="n">
        <v>1340</v>
      </c>
    </row>
    <row r="25" customFormat="false" ht="15" hidden="false" customHeight="false" outlineLevel="0" collapsed="false">
      <c r="A25" s="10" t="n">
        <v>250000</v>
      </c>
      <c r="B25" s="11" t="n">
        <v>1</v>
      </c>
      <c r="C25" s="11" t="n">
        <v>170</v>
      </c>
      <c r="D25" s="11" t="n">
        <v>700</v>
      </c>
    </row>
    <row r="26" customFormat="false" ht="15" hidden="false" customHeight="false" outlineLevel="0" collapsed="false">
      <c r="A26" s="10" t="n">
        <v>500000</v>
      </c>
      <c r="B26" s="11" t="n">
        <v>0</v>
      </c>
      <c r="C26" s="11" t="n">
        <v>47</v>
      </c>
      <c r="D26" s="11" t="n">
        <v>307</v>
      </c>
    </row>
    <row r="27" customFormat="false" ht="15" hidden="false" customHeight="false" outlineLevel="0" collapsed="false">
      <c r="A27" s="13" t="s">
        <v>38</v>
      </c>
      <c r="B27" s="13" t="n">
        <f aca="false">IFERROR(AVERAGE(B19:B26),"")</f>
        <v>311.375</v>
      </c>
      <c r="C27" s="13" t="n">
        <f aca="false">IFERROR(AVERAGE(C19:C26),"")</f>
        <v>1029.625</v>
      </c>
      <c r="D27" s="13" t="n">
        <f aca="false">IFERROR(AVERAGE(D19:D26),"")</f>
        <v>1393.375</v>
      </c>
    </row>
  </sheetData>
  <mergeCells count="4">
    <mergeCell ref="A1:D1"/>
    <mergeCell ref="A2:D2"/>
    <mergeCell ref="A4:D4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40</v>
      </c>
      <c r="B1" s="1"/>
      <c r="C1" s="1"/>
      <c r="D1" s="1"/>
    </row>
    <row r="2" customFormat="false" ht="15" hidden="false" customHeight="false" outlineLevel="0" collapsed="false">
      <c r="A2" s="8" t="s">
        <v>41</v>
      </c>
      <c r="B2" s="8"/>
      <c r="C2" s="8"/>
      <c r="D2" s="8"/>
    </row>
    <row r="3" customFormat="false" ht="15" hidden="false" customHeight="false" outlineLevel="0" collapsed="false">
      <c r="A3" s="4" t="s">
        <v>42</v>
      </c>
      <c r="B3" s="14" t="n">
        <v>5000</v>
      </c>
    </row>
    <row r="5" customFormat="false" ht="15" hidden="false" customHeight="false" outlineLevel="0" collapsed="false">
      <c r="A5" s="2" t="s">
        <v>43</v>
      </c>
      <c r="B5" s="2"/>
      <c r="C5" s="2"/>
      <c r="D5" s="2"/>
    </row>
    <row r="6" customFormat="false" ht="30" hidden="false" customHeight="true" outlineLevel="0" collapsed="false">
      <c r="A6" s="9" t="s">
        <v>44</v>
      </c>
      <c r="B6" s="9" t="s">
        <v>35</v>
      </c>
      <c r="C6" s="9" t="s">
        <v>36</v>
      </c>
      <c r="D6" s="9" t="s">
        <v>37</v>
      </c>
    </row>
    <row r="7" customFormat="false" ht="15" hidden="false" customHeight="false" outlineLevel="0" collapsed="false">
      <c r="A7" s="10" t="n">
        <v>32</v>
      </c>
      <c r="B7" s="11"/>
      <c r="C7" s="11"/>
      <c r="D7" s="11"/>
    </row>
    <row r="8" customFormat="false" ht="15" hidden="false" customHeight="false" outlineLevel="0" collapsed="false">
      <c r="A8" s="10" t="n">
        <v>64</v>
      </c>
      <c r="B8" s="11" t="n">
        <v>550</v>
      </c>
      <c r="C8" s="11" t="n">
        <v>1770</v>
      </c>
      <c r="D8" s="11" t="n">
        <v>1860</v>
      </c>
    </row>
    <row r="9" customFormat="false" ht="15" hidden="false" customHeight="false" outlineLevel="0" collapsed="false">
      <c r="A9" s="10" t="n">
        <v>128</v>
      </c>
      <c r="B9" s="11" t="n">
        <v>550</v>
      </c>
      <c r="C9" s="11" t="n">
        <v>1750</v>
      </c>
      <c r="D9" s="11" t="n">
        <v>1850</v>
      </c>
    </row>
    <row r="10" customFormat="false" ht="15" hidden="false" customHeight="false" outlineLevel="0" collapsed="false">
      <c r="A10" s="10" t="n">
        <v>256</v>
      </c>
      <c r="B10" s="11" t="n">
        <v>565</v>
      </c>
      <c r="C10" s="11" t="n">
        <v>1800</v>
      </c>
      <c r="D10" s="11" t="n">
        <v>1880</v>
      </c>
    </row>
    <row r="11" customFormat="false" ht="15" hidden="false" customHeight="false" outlineLevel="0" collapsed="false">
      <c r="A11" s="10" t="n">
        <v>512</v>
      </c>
      <c r="B11" s="11" t="n">
        <v>540</v>
      </c>
      <c r="C11" s="11" t="n">
        <v>1820</v>
      </c>
      <c r="D11" s="11" t="n">
        <v>1900</v>
      </c>
    </row>
    <row r="12" customFormat="false" ht="15" hidden="false" customHeight="false" outlineLevel="0" collapsed="false">
      <c r="A12" s="10" t="n">
        <v>1024</v>
      </c>
      <c r="B12" s="11" t="n">
        <v>370</v>
      </c>
      <c r="C12" s="11" t="n">
        <v>1800</v>
      </c>
      <c r="D12" s="11" t="n">
        <v>1740</v>
      </c>
    </row>
  </sheetData>
  <mergeCells count="3">
    <mergeCell ref="A1:D1"/>
    <mergeCell ref="A2:D2"/>
    <mergeCell ref="A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26"/>
  </cols>
  <sheetData>
    <row r="1" customFormat="false" ht="17.35" hidden="false" customHeight="false" outlineLevel="0" collapsed="false">
      <c r="A1" s="1" t="s">
        <v>45</v>
      </c>
      <c r="B1" s="1"/>
      <c r="C1" s="1"/>
      <c r="D1" s="1"/>
    </row>
    <row r="2" customFormat="false" ht="15" hidden="false" customHeight="false" outlineLevel="0" collapsed="false">
      <c r="A2" s="8" t="s">
        <v>46</v>
      </c>
      <c r="B2" s="8"/>
      <c r="C2" s="8"/>
      <c r="D2" s="8"/>
    </row>
    <row r="4" customFormat="false" ht="15" hidden="false" customHeight="false" outlineLevel="0" collapsed="false">
      <c r="A4" s="2" t="s">
        <v>47</v>
      </c>
      <c r="B4" s="2"/>
      <c r="C4" s="2"/>
      <c r="D4" s="2"/>
    </row>
    <row r="5" customFormat="false" ht="30" hidden="false" customHeight="true" outlineLevel="0" collapsed="false">
      <c r="A5" s="9" t="s">
        <v>34</v>
      </c>
      <c r="B5" s="9" t="s">
        <v>36</v>
      </c>
      <c r="C5" s="9" t="s">
        <v>37</v>
      </c>
      <c r="D5" s="9" t="s">
        <v>48</v>
      </c>
    </row>
    <row r="6" customFormat="false" ht="15" hidden="false" customHeight="false" outlineLevel="0" collapsed="false">
      <c r="A6" s="10" t="n">
        <v>1000</v>
      </c>
      <c r="B6" s="11"/>
      <c r="C6" s="11"/>
      <c r="D6" s="15" t="str">
        <f aca="false">IFERROR(C6/B6,"")</f>
        <v/>
      </c>
    </row>
    <row r="7" customFormat="false" ht="15" hidden="false" customHeight="false" outlineLevel="0" collapsed="false">
      <c r="A7" s="12" t="n">
        <v>5000</v>
      </c>
      <c r="B7" s="12" t="n">
        <v>2200</v>
      </c>
      <c r="C7" s="12" t="n">
        <v>2500</v>
      </c>
      <c r="D7" s="16" t="n">
        <f aca="false">IFERROR(C7/B7,"")</f>
        <v>1.13636363636364</v>
      </c>
    </row>
    <row r="8" customFormat="false" ht="15" hidden="false" customHeight="false" outlineLevel="0" collapsed="false">
      <c r="A8" s="10" t="n">
        <v>10000</v>
      </c>
      <c r="B8" s="11"/>
      <c r="C8" s="11"/>
      <c r="D8" s="15" t="str">
        <f aca="false">IFERROR(C8/B8,"")</f>
        <v/>
      </c>
    </row>
    <row r="9" customFormat="false" ht="15" hidden="false" customHeight="false" outlineLevel="0" collapsed="false">
      <c r="A9" s="10" t="n">
        <v>25000</v>
      </c>
      <c r="B9" s="11"/>
      <c r="C9" s="11"/>
      <c r="D9" s="15" t="str">
        <f aca="false">IFERROR(C9/B9,"")</f>
        <v/>
      </c>
    </row>
    <row r="10" customFormat="false" ht="15" hidden="false" customHeight="false" outlineLevel="0" collapsed="false">
      <c r="A10" s="10" t="n">
        <v>50000</v>
      </c>
      <c r="B10" s="11"/>
      <c r="C10" s="11"/>
      <c r="D10" s="15" t="str">
        <f aca="false">IFERROR(C10/B10,"")</f>
        <v/>
      </c>
    </row>
    <row r="11" customFormat="false" ht="15" hidden="false" customHeight="false" outlineLevel="0" collapsed="false">
      <c r="A11" s="10" t="n">
        <v>100000</v>
      </c>
      <c r="B11" s="11"/>
      <c r="C11" s="11"/>
      <c r="D11" s="15" t="str">
        <f aca="false">IFERROR(C11/B11,"")</f>
        <v/>
      </c>
    </row>
    <row r="12" customFormat="false" ht="15" hidden="false" customHeight="false" outlineLevel="0" collapsed="false">
      <c r="A12" s="10" t="n">
        <v>250000</v>
      </c>
      <c r="B12" s="11"/>
      <c r="C12" s="11"/>
      <c r="D12" s="15" t="str">
        <f aca="false">IFERROR(C12/B12,"")</f>
        <v/>
      </c>
    </row>
    <row r="13" customFormat="false" ht="15" hidden="false" customHeight="false" outlineLevel="0" collapsed="false">
      <c r="A13" s="10" t="n">
        <v>500000</v>
      </c>
      <c r="B13" s="11"/>
      <c r="C13" s="11"/>
      <c r="D13" s="15" t="str">
        <f aca="false">IFERROR(C13/B13,"")</f>
        <v/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8" t="s">
        <v>50</v>
      </c>
      <c r="B2" s="8"/>
      <c r="C2" s="8"/>
      <c r="D2" s="8"/>
    </row>
    <row r="4" customFormat="false" ht="15" hidden="false" customHeight="false" outlineLevel="0" collapsed="false">
      <c r="A4" s="2" t="s">
        <v>47</v>
      </c>
      <c r="B4" s="2"/>
      <c r="C4" s="2"/>
      <c r="D4" s="2"/>
    </row>
    <row r="5" customFormat="false" ht="30" hidden="false" customHeight="true" outlineLevel="0" collapsed="false">
      <c r="A5" s="9" t="s">
        <v>34</v>
      </c>
      <c r="B5" s="9" t="s">
        <v>51</v>
      </c>
      <c r="C5" s="9" t="s">
        <v>52</v>
      </c>
      <c r="D5" s="9" t="s">
        <v>53</v>
      </c>
    </row>
    <row r="6" customFormat="false" ht="15" hidden="false" customHeight="false" outlineLevel="0" collapsed="false">
      <c r="A6" s="10" t="n">
        <v>1000</v>
      </c>
      <c r="B6" s="11" t="n">
        <v>1800</v>
      </c>
      <c r="C6" s="11" t="n">
        <v>1860</v>
      </c>
      <c r="D6" s="17" t="n">
        <f aca="false">IFERROR((B6-C6)/C6,"")</f>
        <v>-0.032258064516129</v>
      </c>
    </row>
    <row r="7" customFormat="false" ht="15" hidden="false" customHeight="false" outlineLevel="0" collapsed="false">
      <c r="A7" s="10" t="n">
        <v>5000</v>
      </c>
      <c r="B7" s="11" t="n">
        <v>1850</v>
      </c>
      <c r="C7" s="11" t="n">
        <v>1770</v>
      </c>
      <c r="D7" s="17" t="n">
        <f aca="false">IFERROR((B7-C7)/C7,"")</f>
        <v>0.0451977401129944</v>
      </c>
    </row>
    <row r="8" customFormat="false" ht="15" hidden="false" customHeight="false" outlineLevel="0" collapsed="false">
      <c r="A8" s="10" t="n">
        <v>10000</v>
      </c>
      <c r="B8" s="11" t="n">
        <v>1750</v>
      </c>
      <c r="C8" s="11" t="n">
        <v>1770</v>
      </c>
      <c r="D8" s="17" t="n">
        <f aca="false">IFERROR((B8-C8)/C8,"")</f>
        <v>-0.0112994350282486</v>
      </c>
    </row>
    <row r="9" customFormat="false" ht="15" hidden="false" customHeight="false" outlineLevel="0" collapsed="false">
      <c r="A9" s="10" t="n">
        <v>25000</v>
      </c>
      <c r="B9" s="11" t="n">
        <v>1800</v>
      </c>
      <c r="C9" s="11" t="n">
        <v>1870</v>
      </c>
      <c r="D9" s="17" t="n">
        <f aca="false">IFERROR((B9-C9)/C9,"")</f>
        <v>-0.0374331550802139</v>
      </c>
    </row>
    <row r="10" customFormat="false" ht="15" hidden="false" customHeight="false" outlineLevel="0" collapsed="false">
      <c r="A10" s="10" t="n">
        <v>50000</v>
      </c>
      <c r="B10" s="11" t="n">
        <v>1600</v>
      </c>
      <c r="C10" s="11" t="n">
        <v>1050</v>
      </c>
      <c r="D10" s="17" t="n">
        <f aca="false">IFERROR((B10-C10)/C10,"")</f>
        <v>0.523809523809524</v>
      </c>
    </row>
    <row r="11" customFormat="false" ht="15" hidden="false" customHeight="false" outlineLevel="0" collapsed="false">
      <c r="A11" s="10" t="n">
        <v>100000</v>
      </c>
      <c r="B11" s="11" t="n">
        <v>1340</v>
      </c>
      <c r="C11" s="11" t="n">
        <v>1500</v>
      </c>
      <c r="D11" s="17" t="n">
        <f aca="false">IFERROR((B11-C11)/C11,"")</f>
        <v>-0.106666666666667</v>
      </c>
    </row>
    <row r="12" customFormat="false" ht="15" hidden="false" customHeight="false" outlineLevel="0" collapsed="false">
      <c r="A12" s="10" t="n">
        <v>250000</v>
      </c>
      <c r="B12" s="11" t="n">
        <v>700</v>
      </c>
      <c r="C12" s="11" t="n">
        <v>900</v>
      </c>
      <c r="D12" s="17" t="n">
        <f aca="false">IFERROR((B12-C12)/C12,"")</f>
        <v>-0.222222222222222</v>
      </c>
    </row>
    <row r="13" customFormat="false" ht="15" hidden="false" customHeight="false" outlineLevel="0" collapsed="false">
      <c r="A13" s="10" t="n">
        <v>500000</v>
      </c>
      <c r="B13" s="11" t="n">
        <v>307</v>
      </c>
      <c r="C13" s="11" t="n">
        <v>520</v>
      </c>
      <c r="D13" s="17" t="n">
        <f aca="false">IFERROR((B13-C13)/C13,"")</f>
        <v>-0.409615384615385</v>
      </c>
    </row>
  </sheetData>
  <mergeCells count="3">
    <mergeCell ref="A1:D1"/>
    <mergeCell ref="A2:D2"/>
    <mergeCell ref="A4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54</v>
      </c>
      <c r="B1" s="1"/>
    </row>
    <row r="3" customFormat="false" ht="19.5" hidden="false" customHeight="true" outlineLevel="0" collapsed="false">
      <c r="A3" s="18" t="s">
        <v>55</v>
      </c>
      <c r="B3" s="18" t="s">
        <v>56</v>
      </c>
    </row>
    <row r="4" customFormat="false" ht="79.5" hidden="false" customHeight="true" outlineLevel="0" collapsed="false">
      <c r="A4" s="19" t="s">
        <v>57</v>
      </c>
      <c r="B4" s="20"/>
    </row>
    <row r="5" customFormat="false" ht="79.5" hidden="false" customHeight="true" outlineLevel="0" collapsed="false">
      <c r="A5" s="19" t="s">
        <v>58</v>
      </c>
      <c r="B5" s="20"/>
    </row>
    <row r="6" customFormat="false" ht="79.5" hidden="false" customHeight="true" outlineLevel="0" collapsed="false">
      <c r="A6" s="19" t="s">
        <v>59</v>
      </c>
      <c r="B6" s="20"/>
    </row>
    <row r="7" customFormat="false" ht="79.5" hidden="false" customHeight="true" outlineLevel="0" collapsed="false">
      <c r="A7" s="19" t="s">
        <v>60</v>
      </c>
      <c r="B7" s="20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2026-09-08T18:06:31Z</dcterms:created>
  <dc:creator>openpyxl</dc:creator>
  <dc:description/>
  <dc:language>en-US</dc:language>
  <cp:lastModifiedBy/>
  <dcterms:modified xsi:type="dcterms:W3CDTF">2026-09-08T18:06:35Z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